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0f6f2bafe641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 BOM" sheetId="1" r:id="R5b00be5b9a8b4e6d"/>
    <x:sheet xmlns:r="http://schemas.openxmlformats.org/officeDocument/2006/relationships" name="TBD - Footprints" sheetId="2" r:id="Rf90a67620e8945bf"/>
    <x:sheet xmlns:r="http://schemas.openxmlformats.org/officeDocument/2006/relationships" name="Notes" sheetId="3" r:id="R2ac739970a1a45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7F6000"/>
      </x:patternFill>
    </x:fill>
    <x:fill>
      <x:patternFill patternType="solid">
        <x:fgColor rgb="FF7030A0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2" fillId="3" borderId="0" xfId="0" applyNumberFormat="1" applyFont="1" applyFill="1" applyBorder="1"/>
    <x:xf numFmtId="20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2e637fefb840d5" /><Relationship Type="http://schemas.openxmlformats.org/officeDocument/2006/relationships/theme" Target="/xl/theme/theme1.xml" Id="R41c25bd1b732483c" /><Relationship Type="http://schemas.openxmlformats.org/officeDocument/2006/relationships/sharedStrings" Target="/xl/sharedStrings.xml" Id="R68136f2eaa3b49db" /><Relationship Type="http://schemas.openxmlformats.org/officeDocument/2006/relationships/worksheet" Target="/xl/worksheets/sheet1.xml" Id="R5b00be5b9a8b4e6d" /><Relationship Type="http://schemas.openxmlformats.org/officeDocument/2006/relationships/worksheet" Target="/xl/worksheets/sheet2.xml" Id="Rf90a67620e8945bf" /><Relationship Type="http://schemas.openxmlformats.org/officeDocument/2006/relationships/worksheet" Target="/xl/worksheets/sheet3.xml" Id="R2ac739970a1a45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7" hidden="0" customWidth="1"/>
    <x:col min="4" max="4" width="38" hidden="0" customWidth="1"/>
    <x:col min="5" max="5" width="22" hidden="0" customWidth="1"/>
    <x:col min="6" max="6" width="28" hidden="0" customWidth="1"/>
    <x:col min="7" max="7" width="22" hidden="0" customWidth="1"/>
    <x:col min="8" max="8" width="24" hidden="0" customWidth="1"/>
    <x:col min="9" max="9" width="14" hidden="0" customWidth="1"/>
    <x:col min="10" max="10" width="30" hidden="0" customWidth="1"/>
    <x:col min="11" max="11" width="12" hidden="0" customWidth="1"/>
    <x:col min="12" max="12" width="55" hidden="0" customWidth="1"/>
    <x:col min="13" max="13" width="28" hidden="0" customWidth="1"/>
    <x:col min="14" max="14" width="48" hidden="0" customWidth="1"/>
    <x:col min="15" max="15" width="24" hidden="0" customWidth="1"/>
    <x:col min="16" max="16" width="14" hidden="0" customWidth="1"/>
    <x:col min="17" max="17" width="18" hidden="0" customWidth="1"/>
  </x:cols>
  <x:sheetData>
    <x:row r="1" ht="34" customHeight="1">
      <x:c r="A1" s="6" t="str">
        <x:v>Reference</x:v>
      </x:c>
      <x:c r="B1" s="6" t="str">
        <x:v>Category</x:v>
      </x:c>
      <x:c r="C1" s="6" t="str">
        <x:v>Qty</x:v>
      </x:c>
      <x:c r="D1" s="6" t="str">
        <x:v>Selected Part</x:v>
      </x:c>
      <x:c r="E1" s="6" t="str">
        <x:v>Manufacturer</x:v>
      </x:c>
      <x:c r="F1" s="6" t="str">
        <x:v>Manufacturer PN</x:v>
      </x:c>
      <x:c r="G1" s="6" t="str">
        <x:v>Vendor</x:v>
      </x:c>
      <x:c r="H1" s="6" t="str">
        <x:v>Vendor PN</x:v>
      </x:c>
      <x:c r="I1" s="6" t="str">
        <x:v>Unit Price (USD)</x:v>
      </x:c>
      <x:c r="J1" s="6" t="str">
        <x:v>Availability (checked)</x:v>
      </x:c>
      <x:c r="K1" s="6" t="str">
        <x:v>Order Qty 1?</x:v>
      </x:c>
      <x:c r="L1" s="6" t="str">
        <x:v>Purchase URL</x:v>
      </x:c>
      <x:c r="M1" s="6" t="str">
        <x:v>Purpose</x:v>
      </x:c>
      <x:c r="N1" s="6" t="str">
        <x:v>Notes</x:v>
      </x:c>
      <x:c r="O1" s="6" t="str">
        <x:v>Status</x:v>
      </x:c>
      <x:c r="P1" s="6" t="str">
        <x:v>Checked Date</x:v>
      </x:c>
      <x:c r="Q1" s="6" t="str">
        <x:v>Extended Cost (USD)</x:v>
      </x:c>
    </x:row>
    <x:row r="2">
      <x:c r="A2" s="12" t="str">
        <x:v>BT1</x:v>
      </x:c>
      <x:c r="B2" s="12" t="str">
        <x:v>Battery</x:v>
      </x:c>
      <x:c r="C2" s="16" t="n">
        <x:v>1</x:v>
      </x:c>
      <x:c r="D2" s="12" t="str">
        <x:v>3S 11.1V 2200mAh 35C LiPo with XT60</x:v>
      </x:c>
      <x:c r="E2" s="12" t="str">
        <x:v>Gens ace</x:v>
      </x:c>
      <x:c r="F2" s="12" t="str">
        <x:v>GEA223S35X6GT</x:v>
      </x:c>
      <x:c r="G2" s="12" t="str">
        <x:v>Horizon Hobby</x:v>
      </x:c>
      <x:c r="H2" s="12" t="str"/>
      <x:c r="I2" s="14" t="n">
        <x:v>22.69</x:v>
      </x:c>
      <x:c r="J2" s="12" t="str">
        <x:v>In stock when checked</x:v>
      </x:c>
      <x:c r="K2" s="16" t="str">
        <x:v>Yes</x:v>
      </x:c>
      <x:c r="L2" s="12" t="str">
        <x:v>https://www.horizonhobby.com/product/11.1v-2200mah-3s-35c-g-tech-bashing-lipo-battery-xt60/GEA223S35X6GT.html</x:v>
      </x:c>
      <x:c r="M2" s="12" t="str">
        <x:v>Main robot battery</x:v>
      </x:c>
      <x:c r="N2" s="12" t="str">
        <x:v>Baseline pack; capacity can be changed after runtime/weight testing.</x:v>
      </x:c>
      <x:c r="O2" s="12" t="str">
        <x:v>Recommended</x:v>
      </x:c>
      <x:c r="P2" s="12" t="str">
        <x:v>2026-08-30</x:v>
      </x:c>
      <x:c r="Q2" s="14" t="n">
        <x:f>IF(ISNUMBER(I2),C2*I2,"")</x:f>
        <x:v>22.69</x:v>
      </x:c>
    </x:row>
    <x:row r="3">
      <x:c r="A3" s="12" t="str">
        <x:v>J1</x:v>
      </x:c>
      <x:c r="B3" s="12" t="str">
        <x:v>Battery connector</x:v>
      </x:c>
      <x:c r="C3" s="16" t="n">
        <x:v>1</x:v>
      </x:c>
      <x:c r="D3" s="12" t="str">
        <x:v>XT60 male/female connector pair</x:v>
      </x:c>
      <x:c r="E3" s="12" t="str">
        <x:v>SparkFun</x:v>
      </x:c>
      <x:c r="F3" s="12" t="str">
        <x:v>10474</x:v>
      </x:c>
      <x:c r="G3" s="12" t="str">
        <x:v>DigiKey</x:v>
      </x:c>
      <x:c r="H3" s="12" t="str">
        <x:v>1568-10474-ND</x:v>
      </x:c>
      <x:c r="I3" s="14" t="n">
        <x:v>2.5</x:v>
      </x:c>
      <x:c r="J3" s="12" t="str">
        <x:v>5,368 in stock when checked</x:v>
      </x:c>
      <x:c r="K3" s="16" t="str">
        <x:v>Yes</x:v>
      </x:c>
      <x:c r="L3" s="12" t="str">
        <x:v>https://www.digikey.com/en/products/detail/sparkfun-electronics/10474/8258064</x:v>
      </x:c>
      <x:c r="M3" s="12" t="str">
        <x:v>Main detachable battery connector</x:v>
      </x:c>
      <x:c r="N3" s="12" t="str">
        <x:v>Use the appropriate half on the robot so exposed contacts cannot be shorted.</x:v>
      </x:c>
      <x:c r="O3" s="12" t="str">
        <x:v>Recommended</x:v>
      </x:c>
      <x:c r="P3" s="12" t="str">
        <x:v>2026-08-30</x:v>
      </x:c>
      <x:c r="Q3" s="14" t="n">
        <x:f>IF(ISNUMBER(I3),C3*I3,"")</x:f>
        <x:v>2.5</x:v>
      </x:c>
    </x:row>
    <x:row r="4">
      <x:c r="A4" s="12" t="str">
        <x:v>F1-H</x:v>
      </x:c>
      <x:c r="B4" s="12" t="str">
        <x:v>Fuse holder</x:v>
      </x:c>
      <x:c r="C4" s="16" t="n">
        <x:v>1</x:v>
      </x:c>
      <x:c r="D4" s="12" t="str">
        <x:v>Inline ATO/ATC blade fuse holder, 20A 32V</x:v>
      </x:c>
      <x:c r="E4" s="12" t="str">
        <x:v>Littelfuse</x:v>
      </x:c>
      <x:c r="F4" s="12" t="str">
        <x:v>0FHA0001XP</x:v>
      </x:c>
      <x:c r="G4" s="12" t="str">
        <x:v>DigiKey</x:v>
      </x:c>
      <x:c r="H4" s="12" t="str">
        <x:v>F10804-ND</x:v>
      </x:c>
      <x:c r="I4" s="14" t="n">
        <x:v>9.29</x:v>
      </x:c>
      <x:c r="J4" s="12" t="str">
        <x:v>186 in stock when checked</x:v>
      </x:c>
      <x:c r="K4" s="16" t="str">
        <x:v>Yes</x:v>
      </x:c>
      <x:c r="L4" s="12" t="str">
        <x:v>https://www.digikey.com/en/products/detail/littelfuse-commercial-vehicle-products/0FHA0001XP/3427042</x:v>
      </x:c>
      <x:c r="M4" s="12" t="str">
        <x:v>Main battery fuse holder</x:v>
      </x:c>
      <x:c r="N4" s="12" t="str">
        <x:v>Compatible with ATC/ATO blade fuses.</x:v>
      </x:c>
      <x:c r="O4" s="12" t="str">
        <x:v>Recommended</x:v>
      </x:c>
      <x:c r="P4" s="12" t="str">
        <x:v>2026-08-30</x:v>
      </x:c>
      <x:c r="Q4" s="14" t="n">
        <x:f>IF(ISNUMBER(I4),C4*I4,"")</x:f>
        <x:v>9.29</x:v>
      </x:c>
    </x:row>
    <x:row r="5">
      <x:c r="A5" s="12" t="str">
        <x:v>F1</x:v>
      </x:c>
      <x:c r="B5" s="12" t="str">
        <x:v>Fuse</x:v>
      </x:c>
      <x:c r="C5" s="16" t="n">
        <x:v>1</x:v>
      </x:c>
      <x:c r="D5" s="12" t="str">
        <x:v>20A 32V ATO/ATC automotive blade fuse</x:v>
      </x:c>
      <x:c r="E5" s="12" t="str">
        <x:v>Eaton Bussmann</x:v>
      </x:c>
      <x:c r="F5" s="12" t="str">
        <x:v>BK/ATC-20</x:v>
      </x:c>
      <x:c r="G5" s="12" t="str">
        <x:v>DigiKey</x:v>
      </x:c>
      <x:c r="H5" s="12" t="str">
        <x:v>283-2320-ND</x:v>
      </x:c>
      <x:c r="I5" s="14" t="n">
        <x:v>1.54</x:v>
      </x:c>
      <x:c r="J5" s="12" t="str">
        <x:v>1,395 in stock when checked</x:v>
      </x:c>
      <x:c r="K5" s="16" t="str">
        <x:v>Yes</x:v>
      </x:c>
      <x:c r="L5" s="12" t="str">
        <x:v>https://www.digikey.com/en/products/detail/eaton-bussmann-electrical-division/BK-ATC-20/264835</x:v>
      </x:c>
      <x:c r="M5" s="12" t="str">
        <x:v>Main battery protection</x:v>
      </x:c>
      <x:c r="N5" s="12" t="str">
        <x:v>20A is an initial value; final fuse rating should be validated from measured drivetrain current.</x:v>
      </x:c>
      <x:c r="O5" s="12" t="str">
        <x:v>Initial value</x:v>
      </x:c>
      <x:c r="P5" s="12" t="str">
        <x:v>2026-08-30</x:v>
      </x:c>
      <x:c r="Q5" s="14" t="n">
        <x:f>IF(ISNUMBER(I5),C5*I5,"")</x:f>
        <x:v>1.54</x:v>
      </x:c>
    </x:row>
    <x:row r="6">
      <x:c r="A6" s="12" t="str">
        <x:v>D1</x:v>
      </x:c>
      <x:c r="B6" s="12" t="str">
        <x:v>TVS</x:v>
      </x:c>
      <x:c r="C6" s="16" t="n">
        <x:v>1</x:v>
      </x:c>
      <x:c r="D6" s="12" t="str">
        <x:v>15V standoff 600W TVS diode, SMB</x:v>
      </x:c>
      <x:c r="E6" s="12" t="str">
        <x:v>Littelfuse</x:v>
      </x:c>
      <x:c r="F6" s="12" t="str">
        <x:v>SMBJ15A</x:v>
      </x:c>
      <x:c r="G6" s="12" t="str">
        <x:v>DigiKey</x:v>
      </x:c>
      <x:c r="H6" s="12" t="str">
        <x:v>SMBJ15ALFCT-ND</x:v>
      </x:c>
      <x:c r="I6" s="14" t="n">
        <x:v>0.49</x:v>
      </x:c>
      <x:c r="J6" s="12" t="str">
        <x:v>33,826 in stock when checked</x:v>
      </x:c>
      <x:c r="K6" s="16" t="str">
        <x:v>Yes</x:v>
      </x:c>
      <x:c r="L6" s="12" t="str">
        <x:v>https://www.digikey.com/en/products/detail/littelfuse-inc/SMBJ15A/285981</x:v>
      </x:c>
      <x:c r="M6" s="12" t="str">
        <x:v>Battery-bus transient suppression</x:v>
      </x:c>
      <x:c r="N6" s="12" t="str">
        <x:v>For the current 3S architecture.</x:v>
      </x:c>
      <x:c r="O6" s="12" t="str">
        <x:v>Recommended</x:v>
      </x:c>
      <x:c r="P6" s="12" t="str">
        <x:v>2026-08-30</x:v>
      </x:c>
      <x:c r="Q6" s="14" t="n">
        <x:f>IF(ISNUMBER(I6),C6*I6,"")</x:f>
        <x:v>0.49</x:v>
      </x:c>
    </x:row>
    <x:row r="7">
      <x:c r="A7" s="12" t="str">
        <x:v>U1</x:v>
      </x:c>
      <x:c r="B7" s="12" t="str">
        <x:v>DC/DC</x:v>
      </x:c>
      <x:c r="C7" s="16" t="n">
        <x:v>1</x:v>
      </x:c>
      <x:c r="D7" s="12" t="str">
        <x:v>12V 2.5A step-up/step-down regulator</x:v>
      </x:c>
      <x:c r="E7" s="12" t="str">
        <x:v>Pololu</x:v>
      </x:c>
      <x:c r="F7" s="12" t="str">
        <x:v>4984 / S13V25F12</x:v>
      </x:c>
      <x:c r="G7" s="12" t="str">
        <x:v>DigiKey Marketplace</x:v>
      </x:c>
      <x:c r="H7" s="12" t="str">
        <x:v>2183-4984-ND</x:v>
      </x:c>
      <x:c r="I7" s="14" t="n">
        <x:v>18.95</x:v>
      </x:c>
      <x:c r="J7" s="12" t="str">
        <x:v>155 in stock when checked</x:v>
      </x:c>
      <x:c r="K7" s="16" t="str">
        <x:v>Yes</x:v>
      </x:c>
      <x:c r="L7" s="12" t="str">
        <x:v>https://www.digikey.com/en/products/detail/pololu-corporation/4984/20193235</x:v>
      </x:c>
      <x:c r="M7" s="12" t="str">
        <x:v>Regulated 12V sensor rail</x:v>
      </x:c>
      <x:c r="N7" s="12" t="str">
        <x:v>Feeds Baumer/Banner sensors and should be the high-voltage supply for the IO-Link master section.</x:v>
      </x:c>
      <x:c r="O7" s="12" t="str">
        <x:v>Recommended</x:v>
      </x:c>
      <x:c r="P7" s="12" t="str">
        <x:v>2026-08-30</x:v>
      </x:c>
      <x:c r="Q7" s="14" t="n">
        <x:f>IF(ISNUMBER(I7),C7*I7,"")</x:f>
        <x:v>18.95</x:v>
      </x:c>
    </x:row>
    <x:row r="8">
      <x:c r="A8" s="12" t="str">
        <x:v>U2</x:v>
      </x:c>
      <x:c r="B8" s="12" t="str">
        <x:v>DC/DC</x:v>
      </x:c>
      <x:c r="C8" s="16" t="n">
        <x:v>1</x:v>
      </x:c>
      <x:c r="D8" s="12" t="str">
        <x:v>5V 3A step-up/step-down regulator</x:v>
      </x:c>
      <x:c r="E8" s="12" t="str">
        <x:v>Pololu</x:v>
      </x:c>
      <x:c r="F8" s="12" t="str">
        <x:v>4082 / S13V30F5</x:v>
      </x:c>
      <x:c r="G8" s="12" t="str">
        <x:v>DigiKey Marketplace</x:v>
      </x:c>
      <x:c r="H8" s="12" t="str">
        <x:v>2183-4082-ND</x:v>
      </x:c>
      <x:c r="I8" s="14" t="n">
        <x:v>17.95</x:v>
      </x:c>
      <x:c r="J8" s="12" t="str">
        <x:v>305 in stock when checked</x:v>
      </x:c>
      <x:c r="K8" s="16" t="str">
        <x:v>Yes</x:v>
      </x:c>
      <x:c r="L8" s="12" t="str">
        <x:v>https://www.digikey.com/en/products/detail/pololu/4082/16164501</x:v>
      </x:c>
      <x:c r="M8" s="12" t="str">
        <x:v>5V auxiliary/telemetry rail</x:v>
      </x:c>
      <x:c r="N8" s="12" t="str">
        <x:v>Do NOT use 5V as MAX14819A VCC; MAX14819A VCC is 9–36V.</x:v>
      </x:c>
      <x:c r="O8" s="12" t="str">
        <x:v>Recommended</x:v>
      </x:c>
      <x:c r="P8" s="12" t="str">
        <x:v>2026-08-30</x:v>
      </x:c>
      <x:c r="Q8" s="14" t="n">
        <x:f>IF(ISNUMBER(I8),C8*I8,"")</x:f>
        <x:v>17.95</x:v>
      </x:c>
    </x:row>
    <x:row r="9">
      <x:c r="A9" s="12" t="str">
        <x:v>U3</x:v>
      </x:c>
      <x:c r="B9" s="12" t="str">
        <x:v>LDO</x:v>
      </x:c>
      <x:c r="C9" s="16" t="n">
        <x:v>1</x:v>
      </x:c>
      <x:c r="D9" s="12" t="str">
        <x:v>3.3V 600mA LDO, SOT-25</x:v>
      </x:c>
      <x:c r="E9" s="12" t="str">
        <x:v>Diodes Incorporated</x:v>
      </x:c>
      <x:c r="F9" s="12" t="str">
        <x:v>AP2112K-3.3TRG1</x:v>
      </x:c>
      <x:c r="G9" s="12" t="str">
        <x:v>DigiKey</x:v>
      </x:c>
      <x:c r="H9" s="12" t="str">
        <x:v>AP2112K-3.3TRG1DICT-ND</x:v>
      </x:c>
      <x:c r="I9" s="14" t="n">
        <x:v>0.28</x:v>
      </x:c>
      <x:c r="J9" s="12" t="str">
        <x:v>183,732 in stock when checked</x:v>
      </x:c>
      <x:c r="K9" s="16" t="str">
        <x:v>Yes</x:v>
      </x:c>
      <x:c r="L9" s="12" t="str">
        <x:v>https://www.digikey.com/en/products/detail/diodes-incorporated/AP2112K-3-3TRG1/4470746</x:v>
      </x:c>
      <x:c r="M9" s="12" t="str">
        <x:v>3.3V logic rail</x:v>
      </x:c>
      <x:c r="N9" s="12" t="str">
        <x:v>For controller-facing logic and 3.3V sensors.</x:v>
      </x:c>
      <x:c r="O9" s="12" t="str">
        <x:v>Recommended</x:v>
      </x:c>
      <x:c r="P9" s="12" t="str">
        <x:v>2026-08-30</x:v>
      </x:c>
      <x:c r="Q9" s="14" t="n">
        <x:f>IF(ISNUMBER(I9),C9*I9,"")</x:f>
        <x:v>0.28</x:v>
      </x:c>
    </x:row>
    <x:row r="10">
      <x:c r="A10" s="12" t="str">
        <x:v>J2/J3/J4</x:v>
      </x:c>
      <x:c r="B10" s="12" t="str">
        <x:v>Distance sensor</x:v>
      </x:c>
      <x:c r="C10" s="16" t="n">
        <x:v>3</x:v>
      </x:c>
      <x:c r="D10" s="12" t="str">
        <x:v>O300.DI-GM1J.72N distance sensor, M8, push-pull + IO-Link</x:v>
      </x:c>
      <x:c r="E10" s="12" t="str">
        <x:v>Baumer</x:v>
      </x:c>
      <x:c r="F10" s="12" t="str">
        <x:v>O300.DI-GM1J.72N / 11199081</x:v>
      </x:c>
      <x:c r="G10" s="12" t="str">
        <x:v>TME</x:v>
      </x:c>
      <x:c r="H10" s="12" t="str">
        <x:v>BAUMER-11199081</x:v>
      </x:c>
      <x:c r="I10" s="14"/>
      <x:c r="J10" s="12" t="str">
        <x:v>US page routes to international offer; multiplicity 1</x:v>
      </x:c>
      <x:c r="K10" s="16" t="str">
        <x:v>Yes</x:v>
      </x:c>
      <x:c r="L10" s="12" t="str">
        <x:v>https://www.tme.com/us/en-us/details/baumer-11199081/standard-photoelectric-sensors/baumer/o300-di-gm1j-72n/</x:v>
      </x:c>
      <x:c r="M10" s="12" t="str">
        <x:v>Close-range opponent sensing</x:v>
      </x:c>
      <x:c r="N10" s="12" t="str">
        <x:v>Already on hand. Replacement/reference link; exact part was not found at DigiKey/Mouser.</x:v>
      </x:c>
      <x:c r="O10" s="12" t="str">
        <x:v>Existing / replacement</x:v>
      </x:c>
      <x:c r="P10" s="12" t="str">
        <x:v>2026-08-30</x:v>
      </x:c>
      <x:c r="Q10" s="14" t="str">
        <x:f>IF(ISNUMBER(I10),C10*I10,"")</x:f>
      </x:c>
    </x:row>
    <x:row r="11">
      <x:c r="A11" s="12" t="str">
        <x:v>SW1</x:v>
      </x:c>
      <x:c r="B11" s="12" t="str">
        <x:v>Mode switch</x:v>
      </x:c>
      <x:c r="C11" s="16" t="n">
        <x:v>1</x:v>
      </x:c>
      <x:c r="D11" s="12" t="str">
        <x:v>3PDT ON-ON non-shorting (break-before-make) slide switch</x:v>
      </x:c>
      <x:c r="E11" s="12" t="str">
        <x:v>Switchcraft</x:v>
      </x:c>
      <x:c r="F11" s="12" t="str">
        <x:v>50209LX</x:v>
      </x:c>
      <x:c r="G11" s="12" t="str">
        <x:v>DigiKey</x:v>
      </x:c>
      <x:c r="H11" s="12" t="str">
        <x:v>SC2415-ND</x:v>
      </x:c>
      <x:c r="I11" s="14" t="n">
        <x:v>12.43</x:v>
      </x:c>
      <x:c r="J11" s="12" t="str">
        <x:v>61 in stock when checked</x:v>
      </x:c>
      <x:c r="K11" s="16" t="str">
        <x:v>Yes</x:v>
      </x:c>
      <x:c r="L11" s="12" t="str">
        <x:v>https://www.digikey.com/en/products/detail/switchcraft-inc/50209LX/1832312</x:v>
      </x:c>
      <x:c r="M11" s="12" t="str">
        <x:v>Switch all 3 Baumers between DIGITAL and IO-Link</x:v>
      </x:c>
      <x:c r="N11" s="12" t="str">
        <x:v>One physical 3PDT switch; BBM avoids momentarily tying both interface paths together.</x:v>
      </x:c>
      <x:c r="O11" s="12" t="str">
        <x:v>Recommended</x:v>
      </x:c>
      <x:c r="P11" s="12" t="str">
        <x:v>2026-08-30</x:v>
      </x:c>
      <x:c r="Q11" s="14" t="n">
        <x:f>IF(ISNUMBER(I11),C11*I11,"")</x:f>
        <x:v>12.43</x:v>
      </x:c>
    </x:row>
    <x:row r="12">
      <x:c r="A12" s="12" t="str">
        <x:v>U4/U5</x:v>
      </x:c>
      <x:c r="B12" s="12" t="str">
        <x:v>IO-Link master</x:v>
      </x:c>
      <x:c r="C12" s="16" t="n">
        <x:v>2</x:v>
      </x:c>
      <x:c r="D12" s="12" t="str">
        <x:v>Dual-channel IO-Link master transceiver, 48-TQFN</x:v>
      </x:c>
      <x:c r="E12" s="12" t="str">
        <x:v>Analog Devices / Maxim</x:v>
      </x:c>
      <x:c r="F12" s="12" t="str">
        <x:v>MAX14819AATM+T</x:v>
      </x:c>
      <x:c r="G12" s="12" t="str">
        <x:v>DigiKey</x:v>
      </x:c>
      <x:c r="H12" s="12" t="str">
        <x:v>175-MAX14819AATM+TCT-ND</x:v>
      </x:c>
      <x:c r="I12" s="14" t="n">
        <x:v>20.74</x:v>
      </x:c>
      <x:c r="J12" s="12" t="str">
        <x:v>2,511 in stock when checked</x:v>
      </x:c>
      <x:c r="K12" s="16" t="str">
        <x:v>Yes</x:v>
      </x:c>
      <x:c r="L12" s="12" t="str">
        <x:v>https://www.digikey.com/en/products/detail/analog-devices-inc-maxim-integrated/MAX14819AATM-T/16675133</x:v>
      </x:c>
      <x:c r="M12" s="12" t="str">
        <x:v>3 active Baumer IO-Link channels + 1 spare</x:v>
      </x:c>
      <x:c r="N12" s="12" t="str">
        <x:v>IMPORTANT: VCC is 9–36V. Verify the final supply/protection network before PCB layout.</x:v>
      </x:c>
      <x:c r="O12" s="12" t="str">
        <x:v>Recommended / schematic review</x:v>
      </x:c>
      <x:c r="P12" s="12" t="str">
        <x:v>2026-08-30</x:v>
      </x:c>
      <x:c r="Q12" s="14" t="n">
        <x:f>IF(ISNUMBER(I12),C12*I12,"")</x:f>
        <x:v>41.48</x:v>
      </x:c>
    </x:row>
    <x:row r="13">
      <x:c r="A13" s="12" t="str">
        <x:v>D14-D16</x:v>
      </x:c>
      <x:c r="B13" s="12" t="str">
        <x:v>IO-Link TVS</x:v>
      </x:c>
      <x:c r="C13" s="16" t="n">
        <x:v>3</x:v>
      </x:c>
      <x:c r="D13" s="12" t="str">
        <x:v>48V standoff 1.5kW TVS, SMC</x:v>
      </x:c>
      <x:c r="E13" s="12" t="str">
        <x:v>Vishay</x:v>
      </x:c>
      <x:c r="F13" s="12" t="str">
        <x:v>SMCJ48A-E3/9AT</x:v>
      </x:c>
      <x:c r="G13" s="12" t="str">
        <x:v>DigiKey</x:v>
      </x:c>
      <x:c r="H13" s="12" t="str">
        <x:v>112-SMCJ48A-E3/9ATCT-ND</x:v>
      </x:c>
      <x:c r="I13" s="14" t="n">
        <x:v>1.02</x:v>
      </x:c>
      <x:c r="J13" s="12" t="str">
        <x:v>2,204 in stock when checked</x:v>
      </x:c>
      <x:c r="K13" s="16" t="str">
        <x:v>Yes</x:v>
      </x:c>
      <x:c r="L13" s="12" t="str">
        <x:v>https://www.digikey.com/en/products/detail/vishay-general-semiconductor-diodes-division/SMCJ48A-E3-9AT/2148419</x:v>
      </x:c>
      <x:c r="M13" s="12" t="str">
        <x:v>IO-Link C/Q transient protection</x:v>
      </x:c>
      <x:c r="N13" s="12" t="str">
        <x:v>Baseline protection part; final protection network should follow the MAX14819A reference design.</x:v>
      </x:c>
      <x:c r="O13" s="12" t="str">
        <x:v>Recommended</x:v>
      </x:c>
      <x:c r="P13" s="12" t="str">
        <x:v>2026-08-30</x:v>
      </x:c>
      <x:c r="Q13" s="14" t="n">
        <x:f>IF(ISNUMBER(I13),C13*I13,"")</x:f>
        <x:v>3.06</x:v>
      </x:c>
    </x:row>
    <x:row r="14">
      <x:c r="A14" s="12" t="str">
        <x:v>J5/J6/J7</x:v>
      </x:c>
      <x:c r="B14" s="12" t="str">
        <x:v>Long-range sensor</x:v>
      </x:c>
      <x:c r="C14" s="16" t="n">
        <x:v>3</x:v>
      </x:c>
      <x:c r="D14" s="12" t="str">
        <x:v>Q20NDXL diffuse 1.5m NPN photoelectric sensor</x:v>
      </x:c>
      <x:c r="E14" s="12" t="str">
        <x:v>Banner Engineering</x:v>
      </x:c>
      <x:c r="F14" s="12" t="str">
        <x:v>Q20NDXL</x:v>
      </x:c>
      <x:c r="G14" s="12" t="str">
        <x:v>DigiKey</x:v>
      </x:c>
      <x:c r="H14" s="12" t="str">
        <x:v>2170-Q20NDXL-ND</x:v>
      </x:c>
      <x:c r="I14" s="14" t="n">
        <x:v>112</x:v>
      </x:c>
      <x:c r="J14" s="12" t="str">
        <x:v>1 in stock when checked; 6-week listed lead time</x:v>
      </x:c>
      <x:c r="K14" s="16" t="str">
        <x:v>Yes</x:v>
      </x:c>
      <x:c r="L14" s="12" t="str">
        <x:v>https://www.digikey.com/en/products/detail/banner-engineering-corporation/Q20NDXL/10653014</x:v>
      </x:c>
      <x:c r="M14" s="12" t="str">
        <x:v>Long-range opponent acquisition</x:v>
      </x:c>
      <x:c r="N14" s="12" t="str">
        <x:v>Expensive if purchased new; use existing units if available.</x:v>
      </x:c>
      <x:c r="O14" s="12" t="str">
        <x:v>Existing / expensive replacement</x:v>
      </x:c>
      <x:c r="P14" s="12" t="str">
        <x:v>2026-08-30</x:v>
      </x:c>
      <x:c r="Q14" s="14" t="n">
        <x:f>IF(ISNUMBER(I14),C14*I14,"")</x:f>
        <x:v>336</x:v>
      </x:c>
    </x:row>
    <x:row r="15">
      <x:c r="A15" s="12" t="str">
        <x:v>J8-J11</x:v>
      </x:c>
      <x:c r="B15" s="12" t="str">
        <x:v>Line sensor</x:v>
      </x:c>
      <x:c r="C15" s="16" t="n">
        <x:v>4</x:v>
      </x:c>
      <x:c r="D15" s="12" t="str">
        <x:v>Micro Line Sensor ML1</x:v>
      </x:c>
      <x:c r="E15" s="12" t="str">
        <x:v>JSumo</x:v>
      </x:c>
      <x:c r="F15" s="12" t="str">
        <x:v>ML1 / JS16249</x:v>
      </x:c>
      <x:c r="G15" s="12" t="str">
        <x:v>JSumo (manufacturer)</x:v>
      </x:c>
      <x:c r="H15" s="12" t="str">
        <x:v>JS16249</x:v>
      </x:c>
      <x:c r="I15" s="14" t="n">
        <x:v>2.45</x:v>
      </x:c>
      <x:c r="J15" s="12" t="str">
        <x:v>165 in stock when checked</x:v>
      </x:c>
      <x:c r="K15" s="16" t="str">
        <x:v>Yes</x:v>
      </x:c>
      <x:c r="L15" s="12" t="str">
        <x:v>https://www.jsumo.com/micro-line-sensor-ml1</x:v>
      </x:c>
      <x:c r="M15" s="12" t="str">
        <x:v>Ring edge detection</x:v>
      </x:c>
      <x:c r="N15" s="12" t="str">
        <x:v>Use 3.3V supply and analog ADC readout.</x:v>
      </x:c>
      <x:c r="O15" s="12" t="str">
        <x:v>Recommended</x:v>
      </x:c>
      <x:c r="P15" s="12" t="str">
        <x:v>2026-08-30</x:v>
      </x:c>
      <x:c r="Q15" s="14" t="n">
        <x:f>IF(ISNUMBER(I15),C15*I15,"")</x:f>
        <x:v>9.8</x:v>
      </x:c>
    </x:row>
    <x:row r="16">
      <x:c r="A16" s="12" t="str">
        <x:v>U6</x:v>
      </x:c>
      <x:c r="B16" s="12" t="str">
        <x:v>Motor driver</x:v>
      </x:c>
      <x:c r="C16" s="16" t="n">
        <x:v>1</x:v>
      </x:c>
      <x:c r="D16" s="12" t="str">
        <x:v>Dual 20A brushed DC motor driver, 6–30V</x:v>
      </x:c>
      <x:c r="E16" s="12" t="str">
        <x:v>Cytron</x:v>
      </x:c>
      <x:c r="F16" s="12" t="str">
        <x:v>MDD20A</x:v>
      </x:c>
      <x:c r="G16" s="12" t="str">
        <x:v>Cytron (manufacturer)</x:v>
      </x:c>
      <x:c r="H16" s="12" t="str">
        <x:v>MDD20A</x:v>
      </x:c>
      <x:c r="I16" s="14" t="n">
        <x:v>38.5</x:v>
      </x:c>
      <x:c r="J16" s="12" t="str">
        <x:v>388 in stock when checked</x:v>
      </x:c>
      <x:c r="K16" s="16" t="str">
        <x:v>Yes</x:v>
      </x:c>
      <x:c r="L16" s="12" t="str">
        <x:v>https://www.cytron.io/p-20amp-6v-30v-dc-motor-driver-2-channels</x:v>
      </x:c>
      <x:c r="M16" s="12" t="str">
        <x:v>Drive two brushed motors</x:v>
      </x:c>
      <x:c r="N16" s="12" t="str">
        <x:v>20A continuous/channel, 60A peak; 3.3V logic compatible. Driver itself has no reverse-polarity protection.</x:v>
      </x:c>
      <x:c r="O16" s="12" t="str">
        <x:v>Recommended</x:v>
      </x:c>
      <x:c r="P16" s="12" t="str">
        <x:v>2026-08-30</x:v>
      </x:c>
      <x:c r="Q16" s="14" t="n">
        <x:f>IF(ISNUMBER(I16),C16*I16,"")</x:f>
        <x:v>38.5</x:v>
      </x:c>
    </x:row>
    <x:row r="17">
      <x:c r="A17" s="12" t="str">
        <x:v>M1/M2</x:v>
      </x:c>
      <x:c r="B17" s="12" t="str">
        <x:v>Drive motor</x:v>
      </x:c>
      <x:c r="C17" s="16" t="n">
        <x:v>2</x:v>
      </x:c>
      <x:c r="D17" s="12" t="str">
        <x:v>50:1 37D 12V metal gearmotor, helical pinion</x:v>
      </x:c>
      <x:c r="E17" s="12" t="str">
        <x:v>Pololu</x:v>
      </x:c>
      <x:c r="F17" s="12" t="str">
        <x:v>4743</x:v>
      </x:c>
      <x:c r="G17" s="12" t="str">
        <x:v>Pololu (manufacturer)</x:v>
      </x:c>
      <x:c r="H17" s="12" t="str">
        <x:v>4743</x:v>
      </x:c>
      <x:c r="I17" s="14" t="n">
        <x:v>38.95</x:v>
      </x:c>
      <x:c r="J17" s="12" t="str">
        <x:v>Active; sold individually</x:v>
      </x:c>
      <x:c r="K17" s="16" t="str">
        <x:v>Yes</x:v>
      </x:c>
      <x:c r="L17" s="12" t="str">
        <x:v>https://www.pololu.com/product/4743</x:v>
      </x:c>
      <x:c r="M17" s="12" t="str">
        <x:v>High-torque drivetrain</x:v>
      </x:c>
      <x:c r="N17" s="12" t="str">
        <x:v>200 RPM no-load; theoretical stall 5.5A and 21 kg·cm each. Validate wheel diameter/gearing mechanically.</x:v>
      </x:c>
      <x:c r="O17" s="12" t="str">
        <x:v>Recommended baseline</x:v>
      </x:c>
      <x:c r="P17" s="12" t="str">
        <x:v>2026-08-30</x:v>
      </x:c>
      <x:c r="Q17" s="14" t="n">
        <x:f>IF(ISNUMBER(I17),C17*I17,"")</x:f>
        <x:v>77.9</x:v>
      </x:c>
    </x:row>
    <x:row r="18">
      <x:c r="A18" s="12" t="str">
        <x:v>Qx</x:v>
      </x:c>
      <x:c r="B18" s="12" t="str">
        <x:v>NPN transistor</x:v>
      </x:c>
      <x:c r="C18" s="16" t="n">
        <x:v>12</x:v>
      </x:c>
      <x:c r="D18" s="12" t="str">
        <x:v>MMBT3904 NPN transistor, SOT-23</x:v>
      </x:c>
      <x:c r="E18" s="12" t="str">
        <x:v>Diotec Semiconductor</x:v>
      </x:c>
      <x:c r="F18" s="12" t="str">
        <x:v>MMBT3904</x:v>
      </x:c>
      <x:c r="G18" s="12" t="str">
        <x:v>DigiKey</x:v>
      </x:c>
      <x:c r="H18" s="12" t="str">
        <x:v>4878-MMBT3904CT-ND</x:v>
      </x:c>
      <x:c r="I18" s="14" t="n">
        <x:v>0.12</x:v>
      </x:c>
      <x:c r="J18" s="12" t="str">
        <x:v>212,613 in stock when checked</x:v>
      </x:c>
      <x:c r="K18" s="16" t="str">
        <x:v>Yes</x:v>
      </x:c>
      <x:c r="L18" s="12" t="str">
        <x:v>https://www.digikey.com/en/products/detail/diotec-semiconductor/MMBT3904/13163698</x:v>
      </x:c>
      <x:c r="M18" s="12" t="str">
        <x:v>Baumer level shifting + buffered debug LEDs</x:v>
      </x:c>
      <x:c r="N18" s="12" t="str">
        <x:v>Cut-tape quantity 1 available.</x:v>
      </x:c>
      <x:c r="O18" s="12" t="str">
        <x:v>Recommended</x:v>
      </x:c>
      <x:c r="P18" s="12" t="str">
        <x:v>2026-08-30</x:v>
      </x:c>
      <x:c r="Q18" s="14" t="n">
        <x:f>IF(ISNUMBER(I18),C18*I18,"")</x:f>
        <x:v>1.44</x:v>
      </x:c>
    </x:row>
    <x:row r="19">
      <x:c r="A19" s="12" t="str">
        <x:v>LEDx</x:v>
      </x:c>
      <x:c r="B19" s="12" t="str">
        <x:v>Debug LED</x:v>
      </x:c>
      <x:c r="C19" s="16" t="n">
        <x:v>9</x:v>
      </x:c>
      <x:c r="D19" s="12" t="str">
        <x:v>Green 0805 SMD LED</x:v>
      </x:c>
      <x:c r="E19" s="12" t="str">
        <x:v>Lite-On</x:v>
      </x:c>
      <x:c r="F19" s="12" t="str">
        <x:v>LTST-C170KGKT</x:v>
      </x:c>
      <x:c r="G19" s="12" t="str">
        <x:v>DigiKey</x:v>
      </x:c>
      <x:c r="H19" s="12" t="str">
        <x:v>160-1414-1-ND</x:v>
      </x:c>
      <x:c r="I19" s="14" t="n">
        <x:v>0.19</x:v>
      </x:c>
      <x:c r="J19" s="12" t="str">
        <x:v>525,566 in stock when checked</x:v>
      </x:c>
      <x:c r="K19" s="16" t="str">
        <x:v>Yes</x:v>
      </x:c>
      <x:c r="L19" s="12" t="str">
        <x:v>https://www.digikey.com/en/products/detail/lite-on-inc/LTST-C170KGKT/386777</x:v>
      </x:c>
      <x:c r="M19" s="12" t="str">
        <x:v>Sensor-state debug indicators</x:v>
      </x:c>
      <x:c r="N19" s="12" t="str">
        <x:v>Use behind the transistor/buffer; do not load sensor signals directly.</x:v>
      </x:c>
      <x:c r="O19" s="12" t="str">
        <x:v>Recommended</x:v>
      </x:c>
      <x:c r="P19" s="12" t="str">
        <x:v>2026-08-30</x:v>
      </x:c>
      <x:c r="Q19" s="14" t="n">
        <x:f>IF(ISNUMBER(I19),C19*I19,"")</x:f>
        <x:v>1.71</x:v>
      </x:c>
    </x:row>
    <x:row r="20">
      <x:c r="A20" s="12" t="str">
        <x:v>Y1/Y2</x:v>
      </x:c>
      <x:c r="B20" s="12" t="str">
        <x:v>Crystal</x:v>
      </x:c>
      <x:c r="C20" s="16" t="n">
        <x:v>2</x:v>
      </x:c>
      <x:c r="D20" s="12" t="str">
        <x:v>14.7456MHz 18pF SMD crystal</x:v>
      </x:c>
      <x:c r="E20" s="12" t="str">
        <x:v>Citizen Finedevice</x:v>
      </x:c>
      <x:c r="F20" s="12" t="str">
        <x:v>HCM4914745600ABJT</x:v>
      </x:c>
      <x:c r="G20" s="12" t="str">
        <x:v>DigiKey</x:v>
      </x:c>
      <x:c r="H20" s="12" t="str">
        <x:v>300-6131-1-ND</x:v>
      </x:c>
      <x:c r="I20" s="14" t="n">
        <x:v>0.54</x:v>
      </x:c>
      <x:c r="J20" s="12" t="str">
        <x:v>6,239 in stock when checked</x:v>
      </x:c>
      <x:c r="K20" s="16" t="str">
        <x:v>Yes</x:v>
      </x:c>
      <x:c r="L20" s="12" t="str">
        <x:v>https://www.digikey.com/en/products/detail/citizen-finedevice-co-ltd/HCM4914745600ABJT/284279</x:v>
      </x:c>
      <x:c r="M20" s="12" t="str">
        <x:v>MAX14819A clock</x:v>
      </x:c>
      <x:c r="N20" s="12" t="str">
        <x:v>Confirm footprint and load-cap network before board layout.</x:v>
      </x:c>
      <x:c r="O20" s="12" t="str">
        <x:v>Recommended / footprint verify</x:v>
      </x:c>
      <x:c r="P20" s="12" t="str">
        <x:v>2026-08-30</x:v>
      </x:c>
      <x:c r="Q20" s="14" t="n">
        <x:f>IF(ISNUMBER(I20),C20*I20,"")</x:f>
        <x:v>1.08</x:v>
      </x:c>
    </x:row>
    <x:row r="22">
      <x:c r="P22" s="19" t="str">
        <x:v>Known-price total</x:v>
      </x:c>
      <x:c r="Q22" s="22" t="n">
        <x:f>SUM(Q2:Q20)</x:f>
        <x:v>597.0900000000001</x:v>
      </x:c>
    </x:row>
  </x:sheetData>
  <x:conditionalFormatting sqref="O2:O20">
    <x:cfRule type="expression" dxfId="0" priority="1">
      <x:formula>ISNUMBER(SEARCH("review",O2))</x:formula>
    </x:cfRule>
    <x:cfRule type="expression" dxfId="1" priority="2">
      <x:formula>ISNUMBER(SEARCH("Existing",O2))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45" hidden="0" customWidth="1"/>
    <x:col min="4" max="4" width="55" hidden="0" customWidth="1"/>
  </x:cols>
  <x:sheetData>
    <x:row r="1">
      <x:c r="A1" s="28" t="str">
        <x:v>Item group</x:v>
      </x:c>
      <x:c r="B1" s="28" t="str">
        <x:v>Why not locked yet</x:v>
      </x:c>
      <x:c r="C1" s="28" t="str">
        <x:v>What must be chosen</x:v>
      </x:c>
      <x:c r="D1" s="28" t="str">
        <x:v>Recommendation</x:v>
      </x:c>
    </x:row>
    <x:row r="2">
      <x:c r="A2" s="12" t="str">
        <x:v>Resistors</x:v>
      </x:c>
      <x:c r="B2" s="12" t="str">
        <x:v>Exact SMD size/footprint is not committed.</x:v>
      </x:c>
      <x:c r="C2" s="12" t="str">
        <x:v>Choose 0603/0805/etc. and any required power rating.</x:v>
      </x:c>
      <x:c r="D2" s="12" t="str">
        <x:v>0805 is easy to hand solder, but not forced without approval.</x:v>
      </x:c>
    </x:row>
    <x:row r="3">
      <x:c r="A3" s="12" t="str">
        <x:v>Small capacitors</x:v>
      </x:c>
      <x:c r="B3" s="12" t="str">
        <x:v>Exact SMD size/dielectric/voltage rating must match the PCB and rail.</x:v>
      </x:c>
      <x:c r="C3" s="12" t="str">
        <x:v>Choose package and voltage rating.</x:v>
      </x:c>
      <x:c r="D3" s="12" t="str">
        <x:v>X7R is a good default for ordinary decoupling unless datasheet says otherwise.</x:v>
      </x:c>
    </x:row>
    <x:row r="4">
      <x:c r="A4" s="12" t="str">
        <x:v>Bulk capacitors</x:v>
      </x:c>
      <x:c r="B4" s="12" t="str">
        <x:v>Physical size/height depends on board and chassis.</x:v>
      </x:c>
      <x:c r="C4" s="12" t="str">
        <x:v>Choose capacitance, ESR, voltage rating, package after placement.</x:v>
      </x:c>
      <x:c r="D4" s="12" t="str">
        <x:v>Keep comfortable voltage margin above 12.6V on the 3S bus.</x:v>
      </x:c>
    </x:row>
    <x:row r="5">
      <x:c r="A5" s="12" t="str">
        <x:v>Baumer M8 cables</x:v>
      </x:c>
      <x:c r="B5" s="12" t="str">
        <x:v>Length and straight/right-angle form depend on sensor placement.</x:v>
      </x:c>
      <x:c r="C5" s="12" t="str">
        <x:v>Finalize sensor mounting.</x:v>
      </x:c>
      <x:c r="D5" s="12" t="str">
        <x:v>Then select reputable M8 4-pin cables from DigiKey/Mouser.</x:v>
      </x:c>
    </x:row>
    <x:row r="6">
      <x:c r="A6" s="12" t="str">
        <x:v>Banner termination</x:v>
      </x:c>
      <x:c r="B6" s="12" t="str">
        <x:v>Board-side connector depends on wiring harness strategy.</x:v>
      </x:c>
      <x:c r="C6" s="12" t="str">
        <x:v>Choose locking connector family and wire gauge.</x:v>
      </x:c>
      <x:c r="D6" s="12" t="str">
        <x:v>Avoid Dupont jumpers for the combat robot.</x:v>
      </x:c>
    </x:row>
    <x:row r="7">
      <x:c r="A7" s="12" t="str">
        <x:v>Controller connector</x:v>
      </x:c>
      <x:c r="B7" s="12" t="str">
        <x:v>Controller is intentionally not on this schematic.</x:v>
      </x:c>
      <x:c r="C7" s="12" t="str">
        <x:v>Choose harness after controller placement is fixed.</x:v>
      </x:c>
      <x:c r="D7" s="12" t="str">
        <x:v>Use a locking polarized connector.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34" t="str">
        <x:v>Topic</x:v>
      </x:c>
      <x:c r="B1" s="34" t="str">
        <x:v>Note</x:v>
      </x:c>
    </x:row>
    <x:row r="2">
      <x:c r="A2" s="12" t="str">
        <x:v>BOM sourcing</x:v>
      </x:c>
      <x:c r="B2" s="12" t="str">
        <x:v>Sources are DigiKey, major manufacturer/retailer storefronts (Pololu, Cytron, Horizon Hobby, JSumo), and TME for the exact Baumer replacement.</x:v>
      </x:c>
    </x:row>
    <x:row r="3">
      <x:c r="A3" s="12" t="str">
        <x:v>Quantity one</x:v>
      </x:c>
      <x:c r="B3" s="12" t="str">
        <x:v>Every selected item is orderable as a single unit where the vendor page supports it; Baumer is multiplicity 1 but TME routes the US page to its international offer.</x:v>
      </x:c>
    </x:row>
    <x:row r="4">
      <x:c r="A4" s="12" t="str">
        <x:v>Checked</x:v>
      </x:c>
      <x:c r="B4" s="12" t="str">
        <x:v>Prices and availability checked 2026-08-30; they can change.</x:v>
      </x:c>
    </x:row>
    <x:row r="5">
      <x:c r="A5" s="12" t="str">
        <x:v>Electrical correction</x:v>
      </x:c>
      <x:c r="B5" s="12" t="str">
        <x:v>MAX14819A VCC is 9–36V. The earlier BOM wording implying the 5V rail was an IO-Link supply was wrong. Use the regulated ~12V sensor rail for its high-voltage supply and verify the final schematic before PCB layout.</x:v>
      </x:c>
    </x:row>
    <x:row r="6">
      <x:c r="A6" s="12" t="str">
        <x:v>Passives</x:v>
      </x:c>
      <x:c r="B6" s="12" t="str">
        <x:v>Exact resistor/capacitor MPNs are not invented until footprint sizes are selected.</x:v>
      </x:c>
    </x:row>
  </x:sheetData>
  <x:pageMargins left="0.7" right="0.7" top="0.75" bottom="0.75" header="0.3" footer="0.3"/>
</x:worksheet>
</file>